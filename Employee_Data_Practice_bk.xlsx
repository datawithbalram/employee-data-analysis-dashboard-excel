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810" windowWidth="19575" windowHeight="7080" activeTab="2"/>
  </bookViews>
  <sheets>
    <sheet name="Pivot Table" sheetId="2" r:id="rId1"/>
    <sheet name="Employee_Data" sheetId="1" r:id="rId2"/>
    <sheet name="Observations" sheetId="3" r:id="rId3"/>
  </sheets>
  <calcPr calcId="124519"/>
  <pivotCaches>
    <pivotCache cacheId="0" r:id="rId4"/>
  </pivotCaches>
</workbook>
</file>

<file path=xl/calcChain.xml><?xml version="1.0" encoding="utf-8"?>
<calcChain xmlns="http://schemas.openxmlformats.org/spreadsheetml/2006/main">
  <c r="G26" i="1"/>
  <c r="G27"/>
  <c r="G28"/>
  <c r="G25"/>
  <c r="U2"/>
  <c r="U5"/>
  <c r="U4"/>
  <c r="U3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"/>
  <c r="P2"/>
  <c r="O2"/>
  <c r="M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L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</calcChain>
</file>

<file path=xl/sharedStrings.xml><?xml version="1.0" encoding="utf-8"?>
<sst xmlns="http://schemas.openxmlformats.org/spreadsheetml/2006/main" count="197" uniqueCount="122">
  <si>
    <t>EmpID</t>
  </si>
  <si>
    <t>Name</t>
  </si>
  <si>
    <t>Dept</t>
  </si>
  <si>
    <t>City</t>
  </si>
  <si>
    <t>Gender</t>
  </si>
  <si>
    <t>Joining Date</t>
  </si>
  <si>
    <t>Salary</t>
  </si>
  <si>
    <t>Bonus</t>
  </si>
  <si>
    <t>Sales</t>
  </si>
  <si>
    <t>Rating</t>
  </si>
  <si>
    <t>E101</t>
  </si>
  <si>
    <t>Aman</t>
  </si>
  <si>
    <t>Patna</t>
  </si>
  <si>
    <t>M</t>
  </si>
  <si>
    <t>12-Jan-2022</t>
  </si>
  <si>
    <t>E102</t>
  </si>
  <si>
    <t>Ravi</t>
  </si>
  <si>
    <t>HR</t>
  </si>
  <si>
    <t>Delhi</t>
  </si>
  <si>
    <t>05-Mar-2021</t>
  </si>
  <si>
    <t>E103</t>
  </si>
  <si>
    <t>Neha</t>
  </si>
  <si>
    <t>IT</t>
  </si>
  <si>
    <t>Mumbai</t>
  </si>
  <si>
    <t>F</t>
  </si>
  <si>
    <t>18-Jul-2020</t>
  </si>
  <si>
    <t>E104</t>
  </si>
  <si>
    <t>Pooja</t>
  </si>
  <si>
    <t>21-Aug-2022</t>
  </si>
  <si>
    <t>E105</t>
  </si>
  <si>
    <t>Vikash</t>
  </si>
  <si>
    <t>Finance</t>
  </si>
  <si>
    <t>Kolkata</t>
  </si>
  <si>
    <t>10-Feb-2023</t>
  </si>
  <si>
    <t>E106</t>
  </si>
  <si>
    <t>Riya</t>
  </si>
  <si>
    <t>15-Nov-2021</t>
  </si>
  <si>
    <t>E107</t>
  </si>
  <si>
    <t>Karan</t>
  </si>
  <si>
    <t>Ranchi</t>
  </si>
  <si>
    <t>30-Jun-2022</t>
  </si>
  <si>
    <t>E108</t>
  </si>
  <si>
    <t>Sneha</t>
  </si>
  <si>
    <t>01-Jan-2020</t>
  </si>
  <si>
    <t>E109</t>
  </si>
  <si>
    <t>Mohit</t>
  </si>
  <si>
    <t>17-Apr-2021</t>
  </si>
  <si>
    <t>E110</t>
  </si>
  <si>
    <t>Anjali</t>
  </si>
  <si>
    <t>09-Sep-2023</t>
  </si>
  <si>
    <t>E111</t>
  </si>
  <si>
    <t>Raj</t>
  </si>
  <si>
    <t>14-May-2020</t>
  </si>
  <si>
    <t>E112</t>
  </si>
  <si>
    <t>Simran</t>
  </si>
  <si>
    <t>11-Dec-2022</t>
  </si>
  <si>
    <t>E113</t>
  </si>
  <si>
    <t>Deepak</t>
  </si>
  <si>
    <t>22-Feb-2021</t>
  </si>
  <si>
    <t>E114</t>
  </si>
  <si>
    <t>Priya</t>
  </si>
  <si>
    <t>19-Oct-2022</t>
  </si>
  <si>
    <t>E115</t>
  </si>
  <si>
    <t>Arjun</t>
  </si>
  <si>
    <t>07-Jul-2023</t>
  </si>
  <si>
    <t>E116</t>
  </si>
  <si>
    <t>Meena</t>
  </si>
  <si>
    <t>03-Mar-2020</t>
  </si>
  <si>
    <t>E117</t>
  </si>
  <si>
    <t>Saurav</t>
  </si>
  <si>
    <t>28-Aug-2021</t>
  </si>
  <si>
    <t>E118</t>
  </si>
  <si>
    <t>Tanya</t>
  </si>
  <si>
    <t>E119</t>
  </si>
  <si>
    <t>Rohit</t>
  </si>
  <si>
    <t>25-Apr-2023</t>
  </si>
  <si>
    <t>E120</t>
  </si>
  <si>
    <t>Nisha</t>
  </si>
  <si>
    <t>16-Jun-2021</t>
  </si>
  <si>
    <t>Total Income</t>
  </si>
  <si>
    <t>Annual Salary</t>
  </si>
  <si>
    <t>Performance</t>
  </si>
  <si>
    <t>Patna Employes</t>
  </si>
  <si>
    <t>Total Sales Salary</t>
  </si>
  <si>
    <t>Full Profile</t>
  </si>
  <si>
    <t>Experience(Year)</t>
  </si>
  <si>
    <t>Total Salary</t>
  </si>
  <si>
    <t>Kumar</t>
  </si>
  <si>
    <t>Singh</t>
  </si>
  <si>
    <t>Sharma</t>
  </si>
  <si>
    <t>First Name</t>
  </si>
  <si>
    <t>Last Name</t>
  </si>
  <si>
    <t>Row Labels</t>
  </si>
  <si>
    <t>Grand Total</t>
  </si>
  <si>
    <t>Sum of Salary</t>
  </si>
  <si>
    <t>Average of Salary</t>
  </si>
  <si>
    <t>Values</t>
  </si>
  <si>
    <t>Manager</t>
  </si>
  <si>
    <t>Vikram</t>
  </si>
  <si>
    <t>Aditya</t>
  </si>
  <si>
    <t>Ajay</t>
  </si>
  <si>
    <t>Kundan</t>
  </si>
  <si>
    <t>Alok</t>
  </si>
  <si>
    <t>Bunty</t>
  </si>
  <si>
    <t>Ashok</t>
  </si>
  <si>
    <t>Vicky</t>
  </si>
  <si>
    <t>Vinod</t>
  </si>
  <si>
    <t>Ankit</t>
  </si>
  <si>
    <t>Shivam</t>
  </si>
  <si>
    <t>SB.Kumar</t>
  </si>
  <si>
    <t>Gautam</t>
  </si>
  <si>
    <t>Yash</t>
  </si>
  <si>
    <t>Piyush</t>
  </si>
  <si>
    <t>Harsh</t>
  </si>
  <si>
    <t>Sujeet</t>
  </si>
  <si>
    <t>Department</t>
  </si>
  <si>
    <t>VlookUP Concept</t>
  </si>
  <si>
    <t>1. The IT department has the highest average salary.</t>
  </si>
  <si>
    <t>2. The Sales department has the highest number of employees.</t>
  </si>
  <si>
    <t>3. The Finance department has a higher average salary than HR and sales.</t>
  </si>
  <si>
    <t>4. Charts and Pivot Tables were used to compare department-wise data.</t>
  </si>
  <si>
    <t>5. Excel formulas like IF,SUMIF,COUNTIF, and DATEIF were used for calculations and analysis.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</si>
</sst>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64" fontId="0" fillId="0" borderId="8" xfId="1" applyNumberFormat="1" applyFon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0" xfId="0" applyNumberFormat="1" applyBorder="1" applyAlignment="1" applyProtection="1">
      <alignment horizontal="center"/>
      <protection locked="0"/>
    </xf>
    <xf numFmtId="164" fontId="0" fillId="0" borderId="0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0" fontId="2" fillId="0" borderId="0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5" xfId="0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9">
    <dxf>
      <alignment horizontal="center" vertical="bottom" textRotation="0" wrapText="0" indent="0" relativeIndent="255" justifyLastLine="0" shrinkToFit="0" mergeCell="0" readingOrder="0"/>
      <border diagonalUp="0" diagonalDown="0" outline="0"/>
      <protection locked="0" hidden="0"/>
    </dxf>
    <dxf>
      <numFmt numFmtId="0" formatCode="General"/>
      <alignment horizontal="center" vertical="bottom" textRotation="0" wrapText="0" indent="0" relativeIndent="255" justifyLastLine="0" shrinkToFit="0" mergeCell="0" readingOrder="0"/>
      <border diagonalUp="0" diagonalDown="0" outline="0"/>
      <protection locked="0" hidden="0"/>
    </dxf>
    <dxf>
      <numFmt numFmtId="164" formatCode="_ [$₹-4009]\ * #,##0.00_ ;_ [$₹-4009]\ * \-#,##0.00_ ;_ [$₹-4009]\ * &quot;-&quot;??_ ;_ @_ "/>
      <alignment horizontal="center" vertical="bottom" textRotation="0" wrapText="0" indent="0" relativeIndent="255" justifyLastLine="0" shrinkToFit="0" mergeCell="0" readingOrder="0"/>
      <border diagonalUp="0" diagonalDown="0" outline="0"/>
      <protection locked="0" hidden="0"/>
    </dxf>
    <dxf>
      <numFmt numFmtId="164" formatCode="_ [$₹-4009]\ * #,##0.00_ ;_ [$₹-4009]\ * \-#,##0.00_ ;_ [$₹-4009]\ * &quot;-&quot;??_ ;_ @_ "/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[$₹-4009]\ * #,##0.00_ ;_ [$₹-4009]\ * \-#,##0.00_ ;_ [$₹-4009]\ * &quot;-&quot;??_ ;_ @_ "/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5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Employee_Data!$U$1</c:f>
              <c:strCache>
                <c:ptCount val="1"/>
                <c:pt idx="0">
                  <c:v>Total Salary</c:v>
                </c:pt>
              </c:strCache>
            </c:strRef>
          </c:tx>
          <c:cat>
            <c:strRef>
              <c:f>Employee_Data!$T$2:$T$5</c:f>
              <c:strCache>
                <c:ptCount val="4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Finance</c:v>
                </c:pt>
              </c:strCache>
            </c:strRef>
          </c:cat>
          <c:val>
            <c:numRef>
              <c:f>Employee_Data!$U$2:$U$5</c:f>
              <c:numCache>
                <c:formatCode>General</c:formatCode>
                <c:ptCount val="4"/>
                <c:pt idx="0">
                  <c:v>188500</c:v>
                </c:pt>
                <c:pt idx="1">
                  <c:v>130000</c:v>
                </c:pt>
                <c:pt idx="2">
                  <c:v>238000</c:v>
                </c:pt>
                <c:pt idx="3">
                  <c:v>158000</c:v>
                </c:pt>
              </c:numCache>
            </c:numRef>
          </c:val>
        </c:ser>
        <c:axId val="116266112"/>
        <c:axId val="116267648"/>
      </c:barChart>
      <c:catAx>
        <c:axId val="116266112"/>
        <c:scaling>
          <c:orientation val="minMax"/>
        </c:scaling>
        <c:axPos val="b"/>
        <c:tickLblPos val="nextTo"/>
        <c:crossAx val="116267648"/>
        <c:crosses val="autoZero"/>
        <c:auto val="1"/>
        <c:lblAlgn val="ctr"/>
        <c:lblOffset val="100"/>
      </c:catAx>
      <c:valAx>
        <c:axId val="116267648"/>
        <c:scaling>
          <c:orientation val="minMax"/>
        </c:scaling>
        <c:axPos val="l"/>
        <c:majorGridlines/>
        <c:numFmt formatCode="General" sourceLinked="1"/>
        <c:tickLblPos val="nextTo"/>
        <c:crossAx val="11626611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295275</xdr:colOff>
      <xdr:row>5</xdr:row>
      <xdr:rowOff>171450</xdr:rowOff>
    </xdr:from>
    <xdr:to>
      <xdr:col>22</xdr:col>
      <xdr:colOff>266701</xdr:colOff>
      <xdr:row>16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62.561956944446" createdVersion="3" refreshedVersion="3" minRefreshableVersion="3" recordCount="20">
  <cacheSource type="worksheet">
    <worksheetSource name="Table1"/>
  </cacheSource>
  <cacheFields count="13">
    <cacheField name="EmpID" numFmtId="0">
      <sharedItems/>
    </cacheField>
    <cacheField name="Name" numFmtId="0">
      <sharedItems/>
    </cacheField>
    <cacheField name="Dept" numFmtId="0">
      <sharedItems count="4">
        <s v="Sales"/>
        <s v="HR"/>
        <s v="IT"/>
        <s v="Finance"/>
      </sharedItems>
    </cacheField>
    <cacheField name="City" numFmtId="0">
      <sharedItems/>
    </cacheField>
    <cacheField name="Gender" numFmtId="0">
      <sharedItems/>
    </cacheField>
    <cacheField name="Joining Date" numFmtId="0">
      <sharedItems/>
    </cacheField>
    <cacheField name="Salary" numFmtId="164">
      <sharedItems containsSemiMixedTypes="0" containsString="0" containsNumber="1" containsInteger="1" minValue="25000" maxValue="52000"/>
    </cacheField>
    <cacheField name="Bonus" numFmtId="0">
      <sharedItems containsSemiMixedTypes="0" containsString="0" containsNumber="1" containsInteger="1" minValue="2800" maxValue="7000"/>
    </cacheField>
    <cacheField name="Sales" numFmtId="0">
      <sharedItems containsSemiMixedTypes="0" containsString="0" containsNumber="1" containsInteger="1" minValue="0" maxValue="98000"/>
    </cacheField>
    <cacheField name="Rating" numFmtId="0">
      <sharedItems containsSemiMixedTypes="0" containsString="0" containsNumber="1" containsInteger="1" minValue="3" maxValue="5"/>
    </cacheField>
    <cacheField name="Total Income" numFmtId="164">
      <sharedItems containsSemiMixedTypes="0" containsString="0" containsNumber="1" containsInteger="1" minValue="28000" maxValue="59000"/>
    </cacheField>
    <cacheField name="Annual Salary" numFmtId="164">
      <sharedItems containsSemiMixedTypes="0" containsString="0" containsNumber="1" containsInteger="1" minValue="300000" maxValue="624000"/>
    </cacheField>
    <cacheField name="Performanc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E101"/>
    <s v="Aman"/>
    <x v="0"/>
    <s v="Patna"/>
    <s v="M"/>
    <s v="12-Jan-2022"/>
    <n v="25000"/>
    <n v="3000"/>
    <n v="85000"/>
    <n v="4"/>
    <n v="28000"/>
    <n v="300000"/>
    <s v="Good"/>
  </r>
  <r>
    <s v="E102"/>
    <s v="Ravi"/>
    <x v="1"/>
    <s v="Delhi"/>
    <s v="M"/>
    <s v="05-Mar-2021"/>
    <n v="32000"/>
    <n v="4000"/>
    <n v="0"/>
    <n v="5"/>
    <n v="36000"/>
    <n v="384000"/>
    <s v="Excellent"/>
  </r>
  <r>
    <s v="E103"/>
    <s v="Neha"/>
    <x v="2"/>
    <s v="Mumbai"/>
    <s v="F"/>
    <s v="18-Jul-2020"/>
    <n v="45000"/>
    <n v="6000"/>
    <n v="0"/>
    <n v="5"/>
    <n v="51000"/>
    <n v="540000"/>
    <s v="Excellent"/>
  </r>
  <r>
    <s v="E104"/>
    <s v="Pooja"/>
    <x v="0"/>
    <s v="Patna"/>
    <s v="F"/>
    <s v="21-Aug-2022"/>
    <n v="27000"/>
    <n v="3500"/>
    <n v="92000"/>
    <n v="4"/>
    <n v="30500"/>
    <n v="324000"/>
    <s v="Good"/>
  </r>
  <r>
    <s v="E105"/>
    <s v="Vikash"/>
    <x v="3"/>
    <s v="Kolkata"/>
    <s v="M"/>
    <s v="10-Feb-2023"/>
    <n v="38000"/>
    <n v="4500"/>
    <n v="0"/>
    <n v="3"/>
    <n v="42500"/>
    <n v="456000"/>
    <s v="Average"/>
  </r>
  <r>
    <s v="E106"/>
    <s v="Riya"/>
    <x v="2"/>
    <s v="Delhi"/>
    <s v="F"/>
    <s v="15-Nov-2021"/>
    <n v="47000"/>
    <n v="6500"/>
    <n v="0"/>
    <n v="5"/>
    <n v="53500"/>
    <n v="564000"/>
    <s v="Excellent"/>
  </r>
  <r>
    <s v="E107"/>
    <s v="Karan"/>
    <x v="0"/>
    <s v="Ranchi"/>
    <s v="M"/>
    <s v="30-Jun-2022"/>
    <n v="26000"/>
    <n v="2800"/>
    <n v="76000"/>
    <n v="3"/>
    <n v="28800"/>
    <n v="312000"/>
    <s v="Average"/>
  </r>
  <r>
    <s v="E108"/>
    <s v="Sneha"/>
    <x v="1"/>
    <s v="Patna"/>
    <s v="F"/>
    <s v="01-Jan-2020"/>
    <n v="34000"/>
    <n v="4200"/>
    <n v="0"/>
    <n v="4"/>
    <n v="38200"/>
    <n v="408000"/>
    <s v="Good"/>
  </r>
  <r>
    <s v="E109"/>
    <s v="Mohit"/>
    <x v="3"/>
    <s v="Delhi"/>
    <s v="M"/>
    <s v="17-Apr-2021"/>
    <n v="39000"/>
    <n v="5000"/>
    <n v="0"/>
    <n v="4"/>
    <n v="44000"/>
    <n v="468000"/>
    <s v="Good"/>
  </r>
  <r>
    <s v="E110"/>
    <s v="Anjali"/>
    <x v="0"/>
    <s v="Mumbai"/>
    <s v="F"/>
    <s v="09-Sep-2023"/>
    <n v="29000"/>
    <n v="3200"/>
    <n v="98000"/>
    <n v="5"/>
    <n v="32200"/>
    <n v="348000"/>
    <s v="Excellent"/>
  </r>
  <r>
    <s v="E111"/>
    <s v="Raj"/>
    <x v="2"/>
    <s v="Patna"/>
    <s v="M"/>
    <s v="14-May-2020"/>
    <n v="52000"/>
    <n v="7000"/>
    <n v="0"/>
    <n v="5"/>
    <n v="59000"/>
    <n v="624000"/>
    <s v="Excellent"/>
  </r>
  <r>
    <s v="E112"/>
    <s v="Simran"/>
    <x v="1"/>
    <s v="Ranchi"/>
    <s v="F"/>
    <s v="11-Dec-2022"/>
    <n v="31000"/>
    <n v="3500"/>
    <n v="0"/>
    <n v="3"/>
    <n v="34500"/>
    <n v="372000"/>
    <s v="Average"/>
  </r>
  <r>
    <s v="E113"/>
    <s v="Deepak"/>
    <x v="3"/>
    <s v="Patna"/>
    <s v="M"/>
    <s v="22-Feb-2021"/>
    <n v="41000"/>
    <n v="4800"/>
    <n v="0"/>
    <n v="4"/>
    <n v="45800"/>
    <n v="492000"/>
    <s v="Good"/>
  </r>
  <r>
    <s v="E114"/>
    <s v="Priya"/>
    <x v="0"/>
    <s v="Delhi"/>
    <s v="F"/>
    <s v="19-Oct-2022"/>
    <n v="27500"/>
    <n v="3100"/>
    <n v="88000"/>
    <n v="4"/>
    <n v="30600"/>
    <n v="330000"/>
    <s v="Good"/>
  </r>
  <r>
    <s v="E115"/>
    <s v="Arjun"/>
    <x v="2"/>
    <s v="Kolkata"/>
    <s v="M"/>
    <s v="07-Jul-2023"/>
    <n v="46000"/>
    <n v="6200"/>
    <n v="0"/>
    <n v="5"/>
    <n v="52200"/>
    <n v="552000"/>
    <s v="Excellent"/>
  </r>
  <r>
    <s v="E116"/>
    <s v="Meena"/>
    <x v="1"/>
    <s v="Mumbai"/>
    <s v="F"/>
    <s v="03-Mar-2020"/>
    <n v="33000"/>
    <n v="3900"/>
    <n v="0"/>
    <n v="4"/>
    <n v="36900"/>
    <n v="396000"/>
    <s v="Good"/>
  </r>
  <r>
    <s v="E117"/>
    <s v="Saurav"/>
    <x v="0"/>
    <s v="Patna"/>
    <s v="M"/>
    <s v="28-Aug-2021"/>
    <n v="25500"/>
    <n v="2900"/>
    <n v="73000"/>
    <n v="3"/>
    <n v="28400"/>
    <n v="306000"/>
    <s v="Average"/>
  </r>
  <r>
    <s v="E118"/>
    <s v="Tanya"/>
    <x v="3"/>
    <s v="Delhi"/>
    <s v="F"/>
    <s v="12-Jan-2022"/>
    <n v="40000"/>
    <n v="5100"/>
    <n v="0"/>
    <n v="5"/>
    <n v="45100"/>
    <n v="480000"/>
    <s v="Excellent"/>
  </r>
  <r>
    <s v="E119"/>
    <s v="Rohit"/>
    <x v="2"/>
    <s v="Ranchi"/>
    <s v="M"/>
    <s v="25-Apr-2023"/>
    <n v="48000"/>
    <n v="6700"/>
    <n v="0"/>
    <n v="4"/>
    <n v="54700"/>
    <n v="576000"/>
    <s v="Good"/>
  </r>
  <r>
    <s v="E120"/>
    <s v="Nisha"/>
    <x v="0"/>
    <s v="Kolkata"/>
    <s v="F"/>
    <s v="16-Jun-2021"/>
    <n v="28500"/>
    <n v="3300"/>
    <n v="91000"/>
    <n v="5"/>
    <n v="31800"/>
    <n v="342000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9" firstHeaderRow="1" firstDataRow="2" firstDataCol="1"/>
  <pivotFields count="13"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numFmtId="164"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6" baseField="0" baseItem="0"/>
    <dataField name="Average of Salary" fld="6" subtotal="average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N21" totalsRowShown="0" headerRowDxfId="18" dataDxfId="16" headerRowBorderDxfId="17" tableBorderDxfId="15" totalsRowBorderDxfId="14">
  <tableColumns count="14">
    <tableColumn id="1" name="EmpID" dataDxfId="13"/>
    <tableColumn id="2" name="Name" dataDxfId="12"/>
    <tableColumn id="3" name="Dept" dataDxfId="11"/>
    <tableColumn id="4" name="City" dataDxfId="10"/>
    <tableColumn id="5" name="Gender" dataDxfId="9"/>
    <tableColumn id="6" name="Joining Date" dataDxfId="8"/>
    <tableColumn id="7" name="Salary" dataDxfId="7" dataCellStyle="Currency"/>
    <tableColumn id="8" name="Bonus" dataDxfId="6"/>
    <tableColumn id="9" name="Sales" dataDxfId="5"/>
    <tableColumn id="10" name="Rating" dataDxfId="4"/>
    <tableColumn id="11" name="Total Income" dataDxfId="3">
      <calculatedColumnFormula>G2+H2</calculatedColumnFormula>
    </tableColumn>
    <tableColumn id="12" name="Annual Salary" dataDxfId="2">
      <calculatedColumnFormula>G2*12</calculatedColumnFormula>
    </tableColumn>
    <tableColumn id="13" name="Performance" dataDxfId="1">
      <calculatedColumnFormula>IF(J2=5,"Excellent",IF(J2=4,"Good","Average"))</calculatedColumnFormula>
    </tableColumn>
    <tableColumn id="15" name="Manage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9"/>
  <sheetViews>
    <sheetView workbookViewId="0">
      <selection activeCell="J11" sqref="J11"/>
    </sheetView>
  </sheetViews>
  <sheetFormatPr defaultRowHeight="15"/>
  <cols>
    <col min="1" max="1" width="13.140625" bestFit="1" customWidth="1"/>
    <col min="2" max="2" width="12.85546875" bestFit="1" customWidth="1"/>
    <col min="3" max="3" width="16.42578125" customWidth="1"/>
  </cols>
  <sheetData>
    <row r="3" spans="1:3">
      <c r="B3" s="21" t="s">
        <v>96</v>
      </c>
    </row>
    <row r="4" spans="1:3">
      <c r="A4" s="21" t="s">
        <v>92</v>
      </c>
      <c r="B4" t="s">
        <v>94</v>
      </c>
      <c r="C4" t="s">
        <v>95</v>
      </c>
    </row>
    <row r="5" spans="1:3">
      <c r="A5" s="22" t="s">
        <v>31</v>
      </c>
      <c r="B5" s="23">
        <v>158000</v>
      </c>
      <c r="C5" s="23">
        <v>39500</v>
      </c>
    </row>
    <row r="6" spans="1:3">
      <c r="A6" s="22" t="s">
        <v>17</v>
      </c>
      <c r="B6" s="23">
        <v>130000</v>
      </c>
      <c r="C6" s="23">
        <v>32500</v>
      </c>
    </row>
    <row r="7" spans="1:3">
      <c r="A7" s="22" t="s">
        <v>22</v>
      </c>
      <c r="B7" s="23">
        <v>238000</v>
      </c>
      <c r="C7" s="23">
        <v>47600</v>
      </c>
    </row>
    <row r="8" spans="1:3">
      <c r="A8" s="22" t="s">
        <v>8</v>
      </c>
      <c r="B8" s="23">
        <v>188500</v>
      </c>
      <c r="C8" s="23">
        <v>26928.571428571428</v>
      </c>
    </row>
    <row r="9" spans="1:3">
      <c r="A9" s="22" t="s">
        <v>93</v>
      </c>
      <c r="B9" s="23">
        <v>714500</v>
      </c>
      <c r="C9" s="23">
        <v>35725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Z28"/>
  <sheetViews>
    <sheetView topLeftCell="A7" workbookViewId="0">
      <selection activeCell="J30" sqref="J29:J30"/>
    </sheetView>
  </sheetViews>
  <sheetFormatPr defaultRowHeight="15"/>
  <cols>
    <col min="1" max="1" width="11.28515625" bestFit="1" customWidth="1"/>
    <col min="2" max="2" width="10.85546875" bestFit="1" customWidth="1"/>
    <col min="3" max="3" width="9.85546875" bestFit="1" customWidth="1"/>
    <col min="4" max="4" width="9" bestFit="1" customWidth="1"/>
    <col min="5" max="5" width="12.28515625" bestFit="1" customWidth="1"/>
    <col min="6" max="6" width="16.42578125" bestFit="1" customWidth="1"/>
    <col min="7" max="7" width="11.5703125" bestFit="1" customWidth="1"/>
    <col min="8" max="8" width="11.140625" bestFit="1" customWidth="1"/>
    <col min="9" max="9" width="10.28515625" bestFit="1" customWidth="1"/>
    <col min="10" max="10" width="11.28515625" bestFit="1" customWidth="1"/>
    <col min="11" max="11" width="13.42578125" bestFit="1" customWidth="1"/>
    <col min="12" max="12" width="14.7109375" bestFit="1" customWidth="1"/>
    <col min="13" max="13" width="12.42578125" bestFit="1" customWidth="1"/>
    <col min="14" max="14" width="15.140625" bestFit="1" customWidth="1"/>
    <col min="15" max="15" width="16.42578125" bestFit="1" customWidth="1"/>
    <col min="16" max="16" width="22.140625" bestFit="1" customWidth="1"/>
    <col min="17" max="17" width="16.42578125" bestFit="1" customWidth="1"/>
    <col min="20" max="20" width="11.140625" bestFit="1" customWidth="1"/>
    <col min="23" max="23" width="7.85546875" bestFit="1" customWidth="1"/>
    <col min="24" max="24" width="12.7109375" bestFit="1" customWidth="1"/>
    <col min="25" max="25" width="10.140625" bestFit="1" customWidth="1"/>
  </cols>
  <sheetData>
    <row r="1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79</v>
      </c>
      <c r="L1" s="3" t="s">
        <v>80</v>
      </c>
      <c r="M1" s="3" t="s">
        <v>81</v>
      </c>
      <c r="N1" s="24" t="s">
        <v>97</v>
      </c>
      <c r="O1" s="18" t="s">
        <v>82</v>
      </c>
      <c r="P1" s="1" t="s">
        <v>83</v>
      </c>
      <c r="Q1" s="20" t="s">
        <v>84</v>
      </c>
      <c r="R1" s="20" t="s">
        <v>85</v>
      </c>
      <c r="T1" s="1" t="s">
        <v>2</v>
      </c>
      <c r="U1" s="1" t="s">
        <v>86</v>
      </c>
      <c r="Y1" s="1" t="s">
        <v>90</v>
      </c>
      <c r="Z1" s="1" t="s">
        <v>91</v>
      </c>
    </row>
    <row r="2" spans="1:26">
      <c r="A2" s="5" t="s">
        <v>10</v>
      </c>
      <c r="B2" s="6" t="s">
        <v>11</v>
      </c>
      <c r="C2" s="6" t="s">
        <v>8</v>
      </c>
      <c r="D2" s="6" t="s">
        <v>12</v>
      </c>
      <c r="E2" s="6" t="s">
        <v>13</v>
      </c>
      <c r="F2" s="6" t="s">
        <v>14</v>
      </c>
      <c r="G2" s="7">
        <v>25000</v>
      </c>
      <c r="H2" s="6">
        <v>3000</v>
      </c>
      <c r="I2" s="6">
        <v>85000</v>
      </c>
      <c r="J2" s="8">
        <v>4</v>
      </c>
      <c r="K2" s="15">
        <f t="shared" ref="K2:K21" si="0">G2+H2</f>
        <v>28000</v>
      </c>
      <c r="L2" s="14">
        <f t="shared" ref="L2:L21" si="1">G2*12</f>
        <v>300000</v>
      </c>
      <c r="M2" s="13" t="str">
        <f t="shared" ref="M2:M21" si="2">IF(J2=5,"Excellent",IF(J2=4,"Good","Average"))</f>
        <v>Good</v>
      </c>
      <c r="N2" s="13" t="s">
        <v>98</v>
      </c>
      <c r="O2" s="19">
        <f>COUNTIF(Table1[City],"Patna")</f>
        <v>6</v>
      </c>
      <c r="P2" s="19">
        <f>SUMIF(Table1[Dept],"Sales",Table1[Salary])</f>
        <v>188500</v>
      </c>
      <c r="Q2" s="19" t="str">
        <f t="shared" ref="Q2:Q21" si="3">B2&amp;"-"&amp;C2&amp;"-"&amp;D2</f>
        <v>Aman-Sales-Patna</v>
      </c>
      <c r="R2" s="19">
        <f ca="1">DATEDIF(F2,TODAY(),"y")</f>
        <v>4</v>
      </c>
      <c r="T2" t="s">
        <v>8</v>
      </c>
      <c r="U2">
        <f>SUMIF(C2:C21,"Sales",G2:G21)</f>
        <v>188500</v>
      </c>
      <c r="X2" t="s">
        <v>8</v>
      </c>
      <c r="Y2" t="s">
        <v>11</v>
      </c>
      <c r="Z2" t="s">
        <v>87</v>
      </c>
    </row>
    <row r="3" spans="1:26">
      <c r="A3" s="5" t="s">
        <v>15</v>
      </c>
      <c r="B3" s="6" t="s">
        <v>16</v>
      </c>
      <c r="C3" s="6" t="s">
        <v>17</v>
      </c>
      <c r="D3" s="6" t="s">
        <v>18</v>
      </c>
      <c r="E3" s="6" t="s">
        <v>13</v>
      </c>
      <c r="F3" s="6" t="s">
        <v>19</v>
      </c>
      <c r="G3" s="7">
        <v>32000</v>
      </c>
      <c r="H3" s="6">
        <v>4000</v>
      </c>
      <c r="I3" s="6">
        <v>0</v>
      </c>
      <c r="J3" s="8">
        <v>5</v>
      </c>
      <c r="K3" s="16">
        <f t="shared" si="0"/>
        <v>36000</v>
      </c>
      <c r="L3" s="14">
        <f t="shared" si="1"/>
        <v>384000</v>
      </c>
      <c r="M3" s="13" t="str">
        <f t="shared" si="2"/>
        <v>Excellent</v>
      </c>
      <c r="N3" s="13" t="s">
        <v>99</v>
      </c>
      <c r="O3" s="19"/>
      <c r="P3" s="19"/>
      <c r="Q3" s="19" t="str">
        <f t="shared" si="3"/>
        <v>Ravi-HR-Delhi</v>
      </c>
      <c r="R3" s="19">
        <f t="shared" ref="R3:R21" ca="1" si="4">DATEDIF(F3,TODAY(),"y")</f>
        <v>5</v>
      </c>
      <c r="T3" t="s">
        <v>17</v>
      </c>
      <c r="U3">
        <f>SUMIF(C3:C21,"HR",G3:G21)</f>
        <v>130000</v>
      </c>
      <c r="X3" t="s">
        <v>17</v>
      </c>
      <c r="Y3" t="s">
        <v>16</v>
      </c>
      <c r="Z3" t="s">
        <v>88</v>
      </c>
    </row>
    <row r="4" spans="1:26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7">
        <v>45000</v>
      </c>
      <c r="H4" s="6">
        <v>6000</v>
      </c>
      <c r="I4" s="6">
        <v>0</v>
      </c>
      <c r="J4" s="8">
        <v>5</v>
      </c>
      <c r="K4" s="16">
        <f t="shared" si="0"/>
        <v>51000</v>
      </c>
      <c r="L4" s="14">
        <f t="shared" si="1"/>
        <v>540000</v>
      </c>
      <c r="M4" s="13" t="str">
        <f t="shared" si="2"/>
        <v>Excellent</v>
      </c>
      <c r="N4" s="13" t="s">
        <v>51</v>
      </c>
      <c r="O4" s="19"/>
      <c r="P4" s="19"/>
      <c r="Q4" s="19" t="str">
        <f t="shared" si="3"/>
        <v>Neha-IT-Mumbai</v>
      </c>
      <c r="R4" s="19">
        <f t="shared" ca="1" si="4"/>
        <v>5</v>
      </c>
      <c r="T4" t="s">
        <v>22</v>
      </c>
      <c r="U4">
        <f>SUMIF(C4:C22,"IT",G4:G22)</f>
        <v>238000</v>
      </c>
      <c r="X4" t="s">
        <v>22</v>
      </c>
      <c r="Y4" t="s">
        <v>21</v>
      </c>
      <c r="Z4" t="s">
        <v>89</v>
      </c>
    </row>
    <row r="5" spans="1:26">
      <c r="A5" s="5" t="s">
        <v>26</v>
      </c>
      <c r="B5" s="6" t="s">
        <v>27</v>
      </c>
      <c r="C5" s="6" t="s">
        <v>8</v>
      </c>
      <c r="D5" s="6" t="s">
        <v>12</v>
      </c>
      <c r="E5" s="6" t="s">
        <v>24</v>
      </c>
      <c r="F5" s="6" t="s">
        <v>28</v>
      </c>
      <c r="G5" s="7">
        <v>27000</v>
      </c>
      <c r="H5" s="6">
        <v>3500</v>
      </c>
      <c r="I5" s="6">
        <v>92000</v>
      </c>
      <c r="J5" s="8">
        <v>4</v>
      </c>
      <c r="K5" s="16">
        <f t="shared" si="0"/>
        <v>30500</v>
      </c>
      <c r="L5" s="14">
        <f t="shared" si="1"/>
        <v>324000</v>
      </c>
      <c r="M5" s="13" t="str">
        <f t="shared" si="2"/>
        <v>Good</v>
      </c>
      <c r="N5" s="13" t="s">
        <v>100</v>
      </c>
      <c r="O5" s="19"/>
      <c r="P5" s="19"/>
      <c r="Q5" s="19" t="str">
        <f t="shared" si="3"/>
        <v>Pooja-Sales-Patna</v>
      </c>
      <c r="R5" s="19">
        <f t="shared" ca="1" si="4"/>
        <v>3</v>
      </c>
      <c r="T5" t="s">
        <v>31</v>
      </c>
      <c r="U5">
        <f>SUMIF(C5:C24,"Finance",G5:G24)</f>
        <v>158000</v>
      </c>
      <c r="X5" t="s">
        <v>31</v>
      </c>
    </row>
    <row r="6" spans="1:26">
      <c r="A6" s="5" t="s">
        <v>29</v>
      </c>
      <c r="B6" s="6" t="s">
        <v>30</v>
      </c>
      <c r="C6" s="6" t="s">
        <v>31</v>
      </c>
      <c r="D6" s="6" t="s">
        <v>32</v>
      </c>
      <c r="E6" s="6" t="s">
        <v>13</v>
      </c>
      <c r="F6" s="6" t="s">
        <v>33</v>
      </c>
      <c r="G6" s="7">
        <v>38000</v>
      </c>
      <c r="H6" s="6">
        <v>4500</v>
      </c>
      <c r="I6" s="6">
        <v>0</v>
      </c>
      <c r="J6" s="8">
        <v>3</v>
      </c>
      <c r="K6" s="16">
        <f t="shared" si="0"/>
        <v>42500</v>
      </c>
      <c r="L6" s="14">
        <f t="shared" si="1"/>
        <v>456000</v>
      </c>
      <c r="M6" s="13" t="str">
        <f t="shared" si="2"/>
        <v>Average</v>
      </c>
      <c r="N6" s="13" t="s">
        <v>101</v>
      </c>
      <c r="O6" s="19"/>
      <c r="P6" s="19"/>
      <c r="Q6" s="19" t="str">
        <f t="shared" si="3"/>
        <v>Vikash-Finance-Kolkata</v>
      </c>
      <c r="R6" s="19">
        <f t="shared" ca="1" si="4"/>
        <v>3</v>
      </c>
    </row>
    <row r="7" spans="1:26">
      <c r="A7" s="5" t="s">
        <v>34</v>
      </c>
      <c r="B7" s="6" t="s">
        <v>35</v>
      </c>
      <c r="C7" s="6" t="s">
        <v>22</v>
      </c>
      <c r="D7" s="6" t="s">
        <v>18</v>
      </c>
      <c r="E7" s="6" t="s">
        <v>24</v>
      </c>
      <c r="F7" s="6" t="s">
        <v>36</v>
      </c>
      <c r="G7" s="7">
        <v>47000</v>
      </c>
      <c r="H7" s="6">
        <v>6500</v>
      </c>
      <c r="I7" s="6">
        <v>0</v>
      </c>
      <c r="J7" s="8">
        <v>5</v>
      </c>
      <c r="K7" s="16">
        <f t="shared" si="0"/>
        <v>53500</v>
      </c>
      <c r="L7" s="14">
        <f t="shared" si="1"/>
        <v>564000</v>
      </c>
      <c r="M7" s="13" t="str">
        <f t="shared" si="2"/>
        <v>Excellent</v>
      </c>
      <c r="N7" s="13" t="s">
        <v>102</v>
      </c>
      <c r="O7" s="19"/>
      <c r="P7" s="19"/>
      <c r="Q7" s="19" t="str">
        <f t="shared" si="3"/>
        <v>Riya-IT-Delhi</v>
      </c>
      <c r="R7" s="19">
        <f t="shared" ca="1" si="4"/>
        <v>4</v>
      </c>
    </row>
    <row r="8" spans="1:26">
      <c r="A8" s="5" t="s">
        <v>37</v>
      </c>
      <c r="B8" s="6" t="s">
        <v>38</v>
      </c>
      <c r="C8" s="6" t="s">
        <v>8</v>
      </c>
      <c r="D8" s="6" t="s">
        <v>39</v>
      </c>
      <c r="E8" s="6" t="s">
        <v>13</v>
      </c>
      <c r="F8" s="6" t="s">
        <v>40</v>
      </c>
      <c r="G8" s="7">
        <v>26000</v>
      </c>
      <c r="H8" s="6">
        <v>2800</v>
      </c>
      <c r="I8" s="6">
        <v>76000</v>
      </c>
      <c r="J8" s="8">
        <v>3</v>
      </c>
      <c r="K8" s="16">
        <f t="shared" si="0"/>
        <v>28800</v>
      </c>
      <c r="L8" s="14">
        <f t="shared" si="1"/>
        <v>312000</v>
      </c>
      <c r="M8" s="13" t="str">
        <f t="shared" si="2"/>
        <v>Average</v>
      </c>
      <c r="N8" s="13" t="s">
        <v>103</v>
      </c>
      <c r="O8" s="19"/>
      <c r="P8" s="19"/>
      <c r="Q8" s="19" t="str">
        <f t="shared" si="3"/>
        <v>Karan-Sales-Ranchi</v>
      </c>
      <c r="R8" s="19">
        <f t="shared" ca="1" si="4"/>
        <v>3</v>
      </c>
    </row>
    <row r="9" spans="1:26">
      <c r="A9" s="5" t="s">
        <v>41</v>
      </c>
      <c r="B9" s="6" t="s">
        <v>42</v>
      </c>
      <c r="C9" s="6" t="s">
        <v>17</v>
      </c>
      <c r="D9" s="6" t="s">
        <v>12</v>
      </c>
      <c r="E9" s="6" t="s">
        <v>24</v>
      </c>
      <c r="F9" s="6" t="s">
        <v>43</v>
      </c>
      <c r="G9" s="7">
        <v>34000</v>
      </c>
      <c r="H9" s="6">
        <v>4200</v>
      </c>
      <c r="I9" s="6">
        <v>0</v>
      </c>
      <c r="J9" s="8">
        <v>4</v>
      </c>
      <c r="K9" s="16">
        <f t="shared" si="0"/>
        <v>38200</v>
      </c>
      <c r="L9" s="14">
        <f t="shared" si="1"/>
        <v>408000</v>
      </c>
      <c r="M9" s="13" t="str">
        <f t="shared" si="2"/>
        <v>Good</v>
      </c>
      <c r="N9" s="13" t="s">
        <v>104</v>
      </c>
      <c r="O9" s="19"/>
      <c r="P9" s="19"/>
      <c r="Q9" s="19" t="str">
        <f t="shared" si="3"/>
        <v>Sneha-HR-Patna</v>
      </c>
      <c r="R9" s="19">
        <f t="shared" ca="1" si="4"/>
        <v>6</v>
      </c>
    </row>
    <row r="10" spans="1:26">
      <c r="A10" s="5" t="s">
        <v>44</v>
      </c>
      <c r="B10" s="6" t="s">
        <v>45</v>
      </c>
      <c r="C10" s="6" t="s">
        <v>31</v>
      </c>
      <c r="D10" s="6" t="s">
        <v>18</v>
      </c>
      <c r="E10" s="6" t="s">
        <v>13</v>
      </c>
      <c r="F10" s="6" t="s">
        <v>46</v>
      </c>
      <c r="G10" s="7">
        <v>39000</v>
      </c>
      <c r="H10" s="6">
        <v>5000</v>
      </c>
      <c r="I10" s="6">
        <v>0</v>
      </c>
      <c r="J10" s="8">
        <v>4</v>
      </c>
      <c r="K10" s="16">
        <f t="shared" si="0"/>
        <v>44000</v>
      </c>
      <c r="L10" s="14">
        <f t="shared" si="1"/>
        <v>468000</v>
      </c>
      <c r="M10" s="13" t="str">
        <f t="shared" si="2"/>
        <v>Good</v>
      </c>
      <c r="N10" s="13" t="s">
        <v>11</v>
      </c>
      <c r="O10" s="19"/>
      <c r="P10" s="19"/>
      <c r="Q10" s="19" t="str">
        <f t="shared" si="3"/>
        <v>Mohit-Finance-Delhi</v>
      </c>
      <c r="R10" s="19">
        <f t="shared" ca="1" si="4"/>
        <v>5</v>
      </c>
    </row>
    <row r="11" spans="1:26">
      <c r="A11" s="5" t="s">
        <v>47</v>
      </c>
      <c r="B11" s="6" t="s">
        <v>48</v>
      </c>
      <c r="C11" s="6" t="s">
        <v>8</v>
      </c>
      <c r="D11" s="6" t="s">
        <v>23</v>
      </c>
      <c r="E11" s="6" t="s">
        <v>24</v>
      </c>
      <c r="F11" s="6" t="s">
        <v>49</v>
      </c>
      <c r="G11" s="7">
        <v>29000</v>
      </c>
      <c r="H11" s="6">
        <v>3200</v>
      </c>
      <c r="I11" s="6">
        <v>98000</v>
      </c>
      <c r="J11" s="8">
        <v>5</v>
      </c>
      <c r="K11" s="16">
        <f t="shared" si="0"/>
        <v>32200</v>
      </c>
      <c r="L11" s="14">
        <f t="shared" si="1"/>
        <v>348000</v>
      </c>
      <c r="M11" s="13" t="str">
        <f t="shared" si="2"/>
        <v>Excellent</v>
      </c>
      <c r="N11" s="13" t="s">
        <v>105</v>
      </c>
      <c r="O11" s="19"/>
      <c r="P11" s="19"/>
      <c r="Q11" s="19" t="str">
        <f t="shared" si="3"/>
        <v>Anjali-Sales-Mumbai</v>
      </c>
      <c r="R11" s="19">
        <f t="shared" ca="1" si="4"/>
        <v>2</v>
      </c>
    </row>
    <row r="12" spans="1:26">
      <c r="A12" s="5" t="s">
        <v>50</v>
      </c>
      <c r="B12" s="6" t="s">
        <v>51</v>
      </c>
      <c r="C12" s="6" t="s">
        <v>22</v>
      </c>
      <c r="D12" s="6" t="s">
        <v>12</v>
      </c>
      <c r="E12" s="6" t="s">
        <v>13</v>
      </c>
      <c r="F12" s="6" t="s">
        <v>52</v>
      </c>
      <c r="G12" s="7">
        <v>52000</v>
      </c>
      <c r="H12" s="6">
        <v>7000</v>
      </c>
      <c r="I12" s="6">
        <v>0</v>
      </c>
      <c r="J12" s="8">
        <v>5</v>
      </c>
      <c r="K12" s="16">
        <f t="shared" si="0"/>
        <v>59000</v>
      </c>
      <c r="L12" s="14">
        <f t="shared" si="1"/>
        <v>624000</v>
      </c>
      <c r="M12" s="13" t="str">
        <f t="shared" si="2"/>
        <v>Excellent</v>
      </c>
      <c r="N12" s="13" t="s">
        <v>106</v>
      </c>
      <c r="O12" s="19"/>
      <c r="P12" s="19"/>
      <c r="Q12" s="19" t="str">
        <f t="shared" si="3"/>
        <v>Raj-IT-Patna</v>
      </c>
      <c r="R12" s="19">
        <f t="shared" ca="1" si="4"/>
        <v>6</v>
      </c>
    </row>
    <row r="13" spans="1:26">
      <c r="A13" s="5" t="s">
        <v>53</v>
      </c>
      <c r="B13" s="6" t="s">
        <v>54</v>
      </c>
      <c r="C13" s="6" t="s">
        <v>17</v>
      </c>
      <c r="D13" s="6" t="s">
        <v>39</v>
      </c>
      <c r="E13" s="6" t="s">
        <v>24</v>
      </c>
      <c r="F13" s="6" t="s">
        <v>55</v>
      </c>
      <c r="G13" s="7">
        <v>31000</v>
      </c>
      <c r="H13" s="6">
        <v>3500</v>
      </c>
      <c r="I13" s="6">
        <v>0</v>
      </c>
      <c r="J13" s="8">
        <v>3</v>
      </c>
      <c r="K13" s="16">
        <f t="shared" si="0"/>
        <v>34500</v>
      </c>
      <c r="L13" s="14">
        <f t="shared" si="1"/>
        <v>372000</v>
      </c>
      <c r="M13" s="13" t="str">
        <f t="shared" si="2"/>
        <v>Average</v>
      </c>
      <c r="N13" s="13" t="s">
        <v>107</v>
      </c>
      <c r="O13" s="19"/>
      <c r="P13" s="19"/>
      <c r="Q13" s="19" t="str">
        <f t="shared" si="3"/>
        <v>Simran-HR-Ranchi</v>
      </c>
      <c r="R13" s="19">
        <f t="shared" ca="1" si="4"/>
        <v>3</v>
      </c>
    </row>
    <row r="14" spans="1:26">
      <c r="A14" s="5" t="s">
        <v>56</v>
      </c>
      <c r="B14" s="6" t="s">
        <v>57</v>
      </c>
      <c r="C14" s="6" t="s">
        <v>31</v>
      </c>
      <c r="D14" s="6" t="s">
        <v>12</v>
      </c>
      <c r="E14" s="6" t="s">
        <v>13</v>
      </c>
      <c r="F14" s="6" t="s">
        <v>58</v>
      </c>
      <c r="G14" s="7">
        <v>41000</v>
      </c>
      <c r="H14" s="6">
        <v>4800</v>
      </c>
      <c r="I14" s="6">
        <v>0</v>
      </c>
      <c r="J14" s="8">
        <v>4</v>
      </c>
      <c r="K14" s="16">
        <f t="shared" si="0"/>
        <v>45800</v>
      </c>
      <c r="L14" s="14">
        <f t="shared" si="1"/>
        <v>492000</v>
      </c>
      <c r="M14" s="13" t="str">
        <f t="shared" si="2"/>
        <v>Good</v>
      </c>
      <c r="N14" s="13" t="s">
        <v>108</v>
      </c>
      <c r="O14" s="19"/>
      <c r="P14" s="19"/>
      <c r="Q14" s="19" t="str">
        <f t="shared" si="3"/>
        <v>Deepak-Finance-Patna</v>
      </c>
      <c r="R14" s="19">
        <f t="shared" ca="1" si="4"/>
        <v>5</v>
      </c>
    </row>
    <row r="15" spans="1:26">
      <c r="A15" s="5" t="s">
        <v>59</v>
      </c>
      <c r="B15" s="6" t="s">
        <v>60</v>
      </c>
      <c r="C15" s="6" t="s">
        <v>8</v>
      </c>
      <c r="D15" s="6" t="s">
        <v>18</v>
      </c>
      <c r="E15" s="6" t="s">
        <v>24</v>
      </c>
      <c r="F15" s="6" t="s">
        <v>61</v>
      </c>
      <c r="G15" s="7">
        <v>27500</v>
      </c>
      <c r="H15" s="6">
        <v>3100</v>
      </c>
      <c r="I15" s="6">
        <v>88000</v>
      </c>
      <c r="J15" s="8">
        <v>4</v>
      </c>
      <c r="K15" s="16">
        <f t="shared" si="0"/>
        <v>30600</v>
      </c>
      <c r="L15" s="14">
        <f t="shared" si="1"/>
        <v>330000</v>
      </c>
      <c r="M15" s="13" t="str">
        <f t="shared" si="2"/>
        <v>Good</v>
      </c>
      <c r="N15" s="13" t="s">
        <v>11</v>
      </c>
      <c r="O15" s="19"/>
      <c r="P15" s="19"/>
      <c r="Q15" s="19" t="str">
        <f t="shared" si="3"/>
        <v>Priya-Sales-Delhi</v>
      </c>
      <c r="R15" s="19">
        <f t="shared" ca="1" si="4"/>
        <v>3</v>
      </c>
    </row>
    <row r="16" spans="1:26">
      <c r="A16" s="5" t="s">
        <v>62</v>
      </c>
      <c r="B16" s="6" t="s">
        <v>63</v>
      </c>
      <c r="C16" s="6" t="s">
        <v>22</v>
      </c>
      <c r="D16" s="6" t="s">
        <v>32</v>
      </c>
      <c r="E16" s="6" t="s">
        <v>13</v>
      </c>
      <c r="F16" s="6" t="s">
        <v>64</v>
      </c>
      <c r="G16" s="7">
        <v>46000</v>
      </c>
      <c r="H16" s="6">
        <v>6200</v>
      </c>
      <c r="I16" s="6">
        <v>0</v>
      </c>
      <c r="J16" s="8">
        <v>5</v>
      </c>
      <c r="K16" s="16">
        <f t="shared" si="0"/>
        <v>52200</v>
      </c>
      <c r="L16" s="14">
        <f t="shared" si="1"/>
        <v>552000</v>
      </c>
      <c r="M16" s="13" t="str">
        <f t="shared" si="2"/>
        <v>Excellent</v>
      </c>
      <c r="N16" s="13" t="s">
        <v>109</v>
      </c>
      <c r="O16" s="19"/>
      <c r="P16" s="19"/>
      <c r="Q16" s="19" t="str">
        <f t="shared" si="3"/>
        <v>Arjun-IT-Kolkata</v>
      </c>
      <c r="R16" s="19">
        <f t="shared" ca="1" si="4"/>
        <v>2</v>
      </c>
    </row>
    <row r="17" spans="1:18">
      <c r="A17" s="5" t="s">
        <v>65</v>
      </c>
      <c r="B17" s="6" t="s">
        <v>66</v>
      </c>
      <c r="C17" s="6" t="s">
        <v>17</v>
      </c>
      <c r="D17" s="6" t="s">
        <v>23</v>
      </c>
      <c r="E17" s="6" t="s">
        <v>24</v>
      </c>
      <c r="F17" s="6" t="s">
        <v>67</v>
      </c>
      <c r="G17" s="7">
        <v>33000</v>
      </c>
      <c r="H17" s="6">
        <v>3900</v>
      </c>
      <c r="I17" s="6">
        <v>0</v>
      </c>
      <c r="J17" s="8">
        <v>4</v>
      </c>
      <c r="K17" s="16">
        <f t="shared" si="0"/>
        <v>36900</v>
      </c>
      <c r="L17" s="14">
        <f t="shared" si="1"/>
        <v>396000</v>
      </c>
      <c r="M17" s="13" t="str">
        <f t="shared" si="2"/>
        <v>Good</v>
      </c>
      <c r="N17" s="13" t="s">
        <v>110</v>
      </c>
      <c r="O17" s="19"/>
      <c r="P17" s="19"/>
      <c r="Q17" s="19" t="str">
        <f t="shared" si="3"/>
        <v>Meena-HR-Mumbai</v>
      </c>
      <c r="R17" s="19">
        <f t="shared" ca="1" si="4"/>
        <v>6</v>
      </c>
    </row>
    <row r="18" spans="1:18">
      <c r="A18" s="5" t="s">
        <v>68</v>
      </c>
      <c r="B18" s="6" t="s">
        <v>69</v>
      </c>
      <c r="C18" s="6" t="s">
        <v>8</v>
      </c>
      <c r="D18" s="6" t="s">
        <v>12</v>
      </c>
      <c r="E18" s="6" t="s">
        <v>13</v>
      </c>
      <c r="F18" s="6" t="s">
        <v>70</v>
      </c>
      <c r="G18" s="7">
        <v>25500</v>
      </c>
      <c r="H18" s="6">
        <v>2900</v>
      </c>
      <c r="I18" s="6">
        <v>73000</v>
      </c>
      <c r="J18" s="8">
        <v>3</v>
      </c>
      <c r="K18" s="16">
        <f t="shared" si="0"/>
        <v>28400</v>
      </c>
      <c r="L18" s="14">
        <f t="shared" si="1"/>
        <v>306000</v>
      </c>
      <c r="M18" s="13" t="str">
        <f t="shared" si="2"/>
        <v>Average</v>
      </c>
      <c r="N18" s="13" t="s">
        <v>111</v>
      </c>
      <c r="O18" s="19"/>
      <c r="P18" s="19"/>
      <c r="Q18" s="19" t="str">
        <f t="shared" si="3"/>
        <v>Saurav-Sales-Patna</v>
      </c>
      <c r="R18" s="19">
        <f t="shared" ca="1" si="4"/>
        <v>4</v>
      </c>
    </row>
    <row r="19" spans="1:18">
      <c r="A19" s="5" t="s">
        <v>71</v>
      </c>
      <c r="B19" s="6" t="s">
        <v>72</v>
      </c>
      <c r="C19" s="6" t="s">
        <v>31</v>
      </c>
      <c r="D19" s="6" t="s">
        <v>18</v>
      </c>
      <c r="E19" s="6" t="s">
        <v>24</v>
      </c>
      <c r="F19" s="6" t="s">
        <v>14</v>
      </c>
      <c r="G19" s="7">
        <v>40000</v>
      </c>
      <c r="H19" s="6">
        <v>5100</v>
      </c>
      <c r="I19" s="6">
        <v>0</v>
      </c>
      <c r="J19" s="8">
        <v>5</v>
      </c>
      <c r="K19" s="16">
        <f t="shared" si="0"/>
        <v>45100</v>
      </c>
      <c r="L19" s="14">
        <f t="shared" si="1"/>
        <v>480000</v>
      </c>
      <c r="M19" s="13" t="str">
        <f t="shared" si="2"/>
        <v>Excellent</v>
      </c>
      <c r="N19" s="13" t="s">
        <v>112</v>
      </c>
      <c r="O19" s="19"/>
      <c r="P19" s="19"/>
      <c r="Q19" s="19" t="str">
        <f t="shared" si="3"/>
        <v>Tanya-Finance-Delhi</v>
      </c>
      <c r="R19" s="19">
        <f t="shared" ca="1" si="4"/>
        <v>4</v>
      </c>
    </row>
    <row r="20" spans="1:18">
      <c r="A20" s="5" t="s">
        <v>73</v>
      </c>
      <c r="B20" s="6" t="s">
        <v>74</v>
      </c>
      <c r="C20" s="6" t="s">
        <v>22</v>
      </c>
      <c r="D20" s="6" t="s">
        <v>39</v>
      </c>
      <c r="E20" s="6" t="s">
        <v>13</v>
      </c>
      <c r="F20" s="6" t="s">
        <v>75</v>
      </c>
      <c r="G20" s="7">
        <v>48000</v>
      </c>
      <c r="H20" s="6">
        <v>6700</v>
      </c>
      <c r="I20" s="6">
        <v>0</v>
      </c>
      <c r="J20" s="8">
        <v>4</v>
      </c>
      <c r="K20" s="16">
        <f t="shared" si="0"/>
        <v>54700</v>
      </c>
      <c r="L20" s="14">
        <f t="shared" si="1"/>
        <v>576000</v>
      </c>
      <c r="M20" s="13" t="str">
        <f t="shared" si="2"/>
        <v>Good</v>
      </c>
      <c r="N20" s="13" t="s">
        <v>113</v>
      </c>
      <c r="O20" s="19"/>
      <c r="P20" s="19"/>
      <c r="Q20" s="19" t="str">
        <f t="shared" si="3"/>
        <v>Rohit-IT-Ranchi</v>
      </c>
      <c r="R20" s="19">
        <f t="shared" ca="1" si="4"/>
        <v>3</v>
      </c>
    </row>
    <row r="21" spans="1:18">
      <c r="A21" s="9" t="s">
        <v>76</v>
      </c>
      <c r="B21" s="10" t="s">
        <v>77</v>
      </c>
      <c r="C21" s="10" t="s">
        <v>8</v>
      </c>
      <c r="D21" s="10" t="s">
        <v>32</v>
      </c>
      <c r="E21" s="10" t="s">
        <v>24</v>
      </c>
      <c r="F21" s="10" t="s">
        <v>78</v>
      </c>
      <c r="G21" s="11">
        <v>28500</v>
      </c>
      <c r="H21" s="10">
        <v>3300</v>
      </c>
      <c r="I21" s="10">
        <v>91000</v>
      </c>
      <c r="J21" s="12">
        <v>5</v>
      </c>
      <c r="K21" s="17">
        <f t="shared" si="0"/>
        <v>31800</v>
      </c>
      <c r="L21" s="14">
        <f t="shared" si="1"/>
        <v>342000</v>
      </c>
      <c r="M21" s="13" t="str">
        <f t="shared" si="2"/>
        <v>Excellent</v>
      </c>
      <c r="N21" s="13" t="s">
        <v>114</v>
      </c>
      <c r="O21" s="19"/>
      <c r="Q21" s="19" t="str">
        <f t="shared" si="3"/>
        <v>Nisha-Sales-Kolkata</v>
      </c>
      <c r="R21" s="19">
        <f t="shared" ca="1" si="4"/>
        <v>4</v>
      </c>
    </row>
    <row r="22" spans="1:18">
      <c r="P22" s="19"/>
      <c r="Q22" s="19"/>
    </row>
    <row r="23" spans="1:18">
      <c r="F23" s="27" t="s">
        <v>116</v>
      </c>
      <c r="G23" s="27"/>
      <c r="P23" s="19"/>
      <c r="Q23" s="19"/>
    </row>
    <row r="24" spans="1:18">
      <c r="F24" s="25" t="s">
        <v>115</v>
      </c>
      <c r="G24" s="25" t="s">
        <v>97</v>
      </c>
    </row>
    <row r="25" spans="1:18">
      <c r="F25" s="26" t="s">
        <v>8</v>
      </c>
      <c r="G25" s="26" t="str">
        <f>VLOOKUP(F25,C1:$N$21,12,FALSE)</f>
        <v>Vikram</v>
      </c>
    </row>
    <row r="26" spans="1:18">
      <c r="F26" s="26" t="s">
        <v>17</v>
      </c>
      <c r="G26" s="26" t="str">
        <f>VLOOKUP(F26,C2:$N$21,12,FALSE)</f>
        <v>Aditya</v>
      </c>
    </row>
    <row r="27" spans="1:18">
      <c r="F27" s="26" t="s">
        <v>22</v>
      </c>
      <c r="G27" s="26" t="str">
        <f>VLOOKUP(F27,C3:$N$21,12,FALSE)</f>
        <v>Raj</v>
      </c>
    </row>
    <row r="28" spans="1:18">
      <c r="F28" s="26" t="s">
        <v>31</v>
      </c>
      <c r="G28" s="26" t="str">
        <f>VLOOKUP(F28,C4:$N$21,12,FALSE)</f>
        <v>Kundan</v>
      </c>
    </row>
  </sheetData>
  <mergeCells count="1">
    <mergeCell ref="F23:G23"/>
  </mergeCells>
  <dataValidations count="1">
    <dataValidation type="list" allowBlank="1" showInputMessage="1" showErrorMessage="1" sqref="C2:C21">
      <formula1>$X$2:$X$5</formula1>
    </dataValidation>
  </dataValidations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showGridLines="0" tabSelected="1" workbookViewId="0">
      <selection activeCell="I22" sqref="I22"/>
    </sheetView>
  </sheetViews>
  <sheetFormatPr defaultRowHeight="15"/>
  <sheetData>
    <row r="1" spans="1:1">
      <c r="A1" t="s">
        <v>117</v>
      </c>
    </row>
    <row r="3" spans="1:1">
      <c r="A3" t="s">
        <v>118</v>
      </c>
    </row>
    <row r="5" spans="1:1">
      <c r="A5" t="s">
        <v>119</v>
      </c>
    </row>
    <row r="7" spans="1:1">
      <c r="A7" t="s">
        <v>120</v>
      </c>
    </row>
    <row r="9" spans="1:1">
      <c r="A9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Employee_Data</vt:lpstr>
      <vt:lpstr>Observations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2026-05-19T16:16:05Z</dcterms:created>
  <dcterms:modified xsi:type="dcterms:W3CDTF">2026-05-26T07:17:55Z</dcterms:modified>
</cp:coreProperties>
</file>